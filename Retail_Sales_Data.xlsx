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pavan\OneDrive\Desktop\Retail Sales Performance Analysis using Excel\"/>
    </mc:Choice>
  </mc:AlternateContent>
  <xr:revisionPtr revIDLastSave="0" documentId="13_ncr:1_{F8C2AE92-7DA2-48AC-BDF3-B9F97E47D816}" xr6:coauthVersionLast="47" xr6:coauthVersionMax="47" xr10:uidLastSave="{00000000-0000-0000-0000-000000000000}"/>
  <bookViews>
    <workbookView minimized="1" xWindow="2928" yWindow="2928" windowWidth="17280" windowHeight="8880" activeTab="4" xr2:uid="{00000000-000D-0000-FFFF-FFFF00000000}"/>
  </bookViews>
  <sheets>
    <sheet name="Sheet1" sheetId="1" r:id="rId1"/>
    <sheet name="Monthly Sales Trend" sheetId="5" r:id="rId2"/>
    <sheet name="Profit by Category" sheetId="4" r:id="rId3"/>
    <sheet name="Sales by Region" sheetId="3" r:id="rId4"/>
    <sheet name="Dashboard" sheetId="6" r:id="rId5"/>
  </sheets>
  <definedNames>
    <definedName name="NativeTimeline_Order_Date">#N/A</definedName>
    <definedName name="Slicer_month">#N/A</definedName>
    <definedName name="Slicer_Order_Date">#N/A</definedName>
    <definedName name="Slicer_Product">#N/A</definedName>
    <definedName name="Slicer_Profit">#N/A</definedName>
    <definedName name="Slicer_Region">#N/A</definedName>
    <definedName name="Slicer_Sale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J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2" i="1"/>
</calcChain>
</file>

<file path=xl/sharedStrings.xml><?xml version="1.0" encoding="utf-8"?>
<sst xmlns="http://schemas.openxmlformats.org/spreadsheetml/2006/main" count="171" uniqueCount="26">
  <si>
    <t>Order Date</t>
  </si>
  <si>
    <t>Region</t>
  </si>
  <si>
    <t>Category</t>
  </si>
  <si>
    <t>Product</t>
  </si>
  <si>
    <t>Sales</t>
  </si>
  <si>
    <t>Quantity</t>
  </si>
  <si>
    <t>Profit</t>
  </si>
  <si>
    <t>South</t>
  </si>
  <si>
    <t>North</t>
  </si>
  <si>
    <t>East</t>
  </si>
  <si>
    <t>West</t>
  </si>
  <si>
    <t>Electronics</t>
  </si>
  <si>
    <t>Furniture</t>
  </si>
  <si>
    <t>Clothing</t>
  </si>
  <si>
    <t>Groceries</t>
  </si>
  <si>
    <t>Product A</t>
  </si>
  <si>
    <t>Product B</t>
  </si>
  <si>
    <t>Product C</t>
  </si>
  <si>
    <t>Product D</t>
  </si>
  <si>
    <t>month</t>
  </si>
  <si>
    <t>Row Labels</t>
  </si>
  <si>
    <t>Grand Total</t>
  </si>
  <si>
    <t>Sum of Sales</t>
  </si>
  <si>
    <t>Sum of Profit</t>
  </si>
  <si>
    <t>Feb-2024</t>
  </si>
  <si>
    <t>Jan-2024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</si>
</sst>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m/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1" fillId="0" borderId="0" xfId="0" applyFon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[Retail_Sales_Data.xlsx]Monthly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Profit Share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s>
    <c:plotArea>
      <c:layout/>
      <c:pieChart>
        <c:varyColors val="1"/>
        <c:ser>
          <c:idx val="0"/>
          <c:order val="0"/>
          <c:tx>
            <c:strRef>
              <c:f>'Monthly Sales Trend'!$E$9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3E-4BC5-8338-9FA0FD8E90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3E-4BC5-8338-9FA0FD8E90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 Sales Trend'!$D$10:$D$12</c:f>
              <c:strCache>
                <c:ptCount val="2"/>
                <c:pt idx="0">
                  <c:v>Feb-2024</c:v>
                </c:pt>
                <c:pt idx="1">
                  <c:v>Jan-2024</c:v>
                </c:pt>
              </c:strCache>
            </c:strRef>
          </c:cat>
          <c:val>
            <c:numRef>
              <c:f>'Monthly Sales Trend'!$E$10:$E$12</c:f>
              <c:numCache>
                <c:formatCode>General</c:formatCode>
                <c:ptCount val="2"/>
                <c:pt idx="0">
                  <c:v>21000</c:v>
                </c:pt>
                <c:pt idx="1">
                  <c:v>12800</c:v>
                </c:pt>
              </c:numCache>
            </c:numRef>
          </c:val>
          <c:extLst>
            <c:ext xmlns:c16="http://schemas.microsoft.com/office/drawing/2014/chart" uri="{C3380CC4-5D6E-409C-BE32-E72D297353CC}">
              <c16:uniqueId val="{00000000-63F7-432D-ADAE-9630A2DE58A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[Retail_Sales_Data.xlsx]Profit by Category!PivotTable2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Category'!$E$10</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'Profit by Category'!$D$11:$D$12</c:f>
              <c:strCache>
                <c:ptCount val="1"/>
                <c:pt idx="0">
                  <c:v>Furniture</c:v>
                </c:pt>
              </c:strCache>
            </c:strRef>
          </c:cat>
          <c:val>
            <c:numRef>
              <c:f>'Profit by Category'!$E$11:$E$12</c:f>
              <c:numCache>
                <c:formatCode>General</c:formatCode>
                <c:ptCount val="1"/>
                <c:pt idx="0">
                  <c:v>6760</c:v>
                </c:pt>
              </c:numCache>
            </c:numRef>
          </c:val>
          <c:smooth val="0"/>
          <c:extLst>
            <c:ext xmlns:c16="http://schemas.microsoft.com/office/drawing/2014/chart" uri="{C3380CC4-5D6E-409C-BE32-E72D297353CC}">
              <c16:uniqueId val="{00000000-E7A9-4EEF-9471-40C882972D11}"/>
            </c:ext>
          </c:extLst>
        </c:ser>
        <c:dLbls>
          <c:showLegendKey val="0"/>
          <c:showVal val="0"/>
          <c:showCatName val="0"/>
          <c:showSerName val="0"/>
          <c:showPercent val="0"/>
          <c:showBubbleSize val="0"/>
        </c:dLbls>
        <c:marker val="1"/>
        <c:smooth val="0"/>
        <c:axId val="811563648"/>
        <c:axId val="811561728"/>
      </c:lineChart>
      <c:catAx>
        <c:axId val="811563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561728"/>
        <c:crosses val="autoZero"/>
        <c:auto val="1"/>
        <c:lblAlgn val="ctr"/>
        <c:lblOffset val="100"/>
        <c:noMultiLvlLbl val="0"/>
      </c:catAx>
      <c:valAx>
        <c:axId val="811561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56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[Retail_Sales_Data.xlsx]Sales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vs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Region'!$C$12:$C$13</c:f>
              <c:strCache>
                <c:ptCount val="1"/>
                <c:pt idx="0">
                  <c:v>North</c:v>
                </c:pt>
              </c:strCache>
            </c:strRef>
          </c:cat>
          <c:val>
            <c:numRef>
              <c:f>'Sales by Region'!$D$12:$D$13</c:f>
              <c:numCache>
                <c:formatCode>General</c:formatCode>
                <c:ptCount val="1"/>
                <c:pt idx="0">
                  <c:v>33800</c:v>
                </c:pt>
              </c:numCache>
            </c:numRef>
          </c:val>
          <c:extLst>
            <c:ext xmlns:c16="http://schemas.microsoft.com/office/drawing/2014/chart" uri="{C3380CC4-5D6E-409C-BE32-E72D297353CC}">
              <c16:uniqueId val="{00000000-9FDE-455F-BAAE-CCAED3D7EB79}"/>
            </c:ext>
          </c:extLst>
        </c:ser>
        <c:dLbls>
          <c:dLblPos val="inEnd"/>
          <c:showLegendKey val="0"/>
          <c:showVal val="1"/>
          <c:showCatName val="0"/>
          <c:showSerName val="0"/>
          <c:showPercent val="0"/>
          <c:showBubbleSize val="0"/>
        </c:dLbls>
        <c:gapWidth val="219"/>
        <c:overlap val="-27"/>
        <c:axId val="965330448"/>
        <c:axId val="965329008"/>
      </c:barChart>
      <c:catAx>
        <c:axId val="96533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29008"/>
        <c:crosses val="autoZero"/>
        <c:auto val="1"/>
        <c:lblAlgn val="ctr"/>
        <c:lblOffset val="100"/>
        <c:noMultiLvlLbl val="0"/>
      </c:catAx>
      <c:valAx>
        <c:axId val="96532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3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[Retail_Sales_Data.xlsx]Sales by Region!PivotTable1</c:name>
    <c:fmtId val="16"/>
  </c:pivotSource>
  <c:chart>
    <c:title>
      <c:tx>
        <c:rich>
          <a:bodyPr rot="0" spcFirstLastPara="1" vertOverflow="ellipsis" vert="horz" wrap="square" anchor="ctr" anchorCtr="1"/>
          <a:lstStyle/>
          <a:p>
            <a:pPr>
              <a:defRPr sz="1600" b="0" i="0" u="none" strike="noStrike" kern="1200" spc="0" baseline="0">
                <a:solidFill>
                  <a:schemeClr val="bg2"/>
                </a:solidFill>
                <a:latin typeface="Times New Roman" panose="02020603050405020304" pitchFamily="18" charset="0"/>
                <a:ea typeface="+mn-ea"/>
                <a:cs typeface="Times New Roman" panose="02020603050405020304" pitchFamily="18" charset="0"/>
              </a:defRPr>
            </a:pPr>
            <a:r>
              <a:rPr lang="en-IN" sz="1600">
                <a:solidFill>
                  <a:schemeClr val="bg2"/>
                </a:solidFill>
                <a:latin typeface="Times New Roman" panose="02020603050405020304" pitchFamily="18" charset="0"/>
                <a:cs typeface="Times New Roman" panose="02020603050405020304" pitchFamily="18" charset="0"/>
              </a:rPr>
              <a:t>Region vs Sales</a:t>
            </a:r>
            <a:endParaRPr lang="en-US" sz="1600">
              <a:solidFill>
                <a:schemeClr val="bg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Region'!$D$11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Region'!$C$12:$C$13</c:f>
              <c:strCache>
                <c:ptCount val="1"/>
                <c:pt idx="0">
                  <c:v>North</c:v>
                </c:pt>
              </c:strCache>
            </c:strRef>
          </c:cat>
          <c:val>
            <c:numRef>
              <c:f>'Sales by Region'!$D$12:$D$13</c:f>
              <c:numCache>
                <c:formatCode>General</c:formatCode>
                <c:ptCount val="1"/>
                <c:pt idx="0">
                  <c:v>33800</c:v>
                </c:pt>
              </c:numCache>
            </c:numRef>
          </c:val>
          <c:extLst>
            <c:ext xmlns:c16="http://schemas.microsoft.com/office/drawing/2014/chart" uri="{C3380CC4-5D6E-409C-BE32-E72D297353CC}">
              <c16:uniqueId val="{00000000-CEC6-474A-BBD6-E8E135477325}"/>
            </c:ext>
          </c:extLst>
        </c:ser>
        <c:dLbls>
          <c:dLblPos val="inEnd"/>
          <c:showLegendKey val="0"/>
          <c:showVal val="1"/>
          <c:showCatName val="0"/>
          <c:showSerName val="0"/>
          <c:showPercent val="0"/>
          <c:showBubbleSize val="0"/>
        </c:dLbls>
        <c:gapWidth val="219"/>
        <c:overlap val="-27"/>
        <c:axId val="965330448"/>
        <c:axId val="965329008"/>
      </c:barChart>
      <c:catAx>
        <c:axId val="96533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965329008"/>
        <c:crosses val="autoZero"/>
        <c:auto val="1"/>
        <c:lblAlgn val="ctr"/>
        <c:lblOffset val="100"/>
        <c:noMultiLvlLbl val="0"/>
      </c:catAx>
      <c:valAx>
        <c:axId val="96532900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96533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[Retail_Sales_Data.xlsx]Profit by Category!PivotTable2</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a:latin typeface="Times New Roman" panose="02020603050405020304" pitchFamily="18" charset="0"/>
                <a:cs typeface="Times New Roman" panose="02020603050405020304" pitchFamily="18" charset="0"/>
              </a:rPr>
              <a:t>Monthly Sales Trend</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Category'!$E$10</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'Profit by Category'!$D$11:$D$12</c:f>
              <c:strCache>
                <c:ptCount val="1"/>
                <c:pt idx="0">
                  <c:v>Furniture</c:v>
                </c:pt>
              </c:strCache>
            </c:strRef>
          </c:cat>
          <c:val>
            <c:numRef>
              <c:f>'Profit by Category'!$E$11:$E$12</c:f>
              <c:numCache>
                <c:formatCode>General</c:formatCode>
                <c:ptCount val="1"/>
                <c:pt idx="0">
                  <c:v>6760</c:v>
                </c:pt>
              </c:numCache>
            </c:numRef>
          </c:val>
          <c:smooth val="0"/>
          <c:extLst>
            <c:ext xmlns:c16="http://schemas.microsoft.com/office/drawing/2014/chart" uri="{C3380CC4-5D6E-409C-BE32-E72D297353CC}">
              <c16:uniqueId val="{00000000-56D9-4FA1-B5C7-D8E8A93AD10A}"/>
            </c:ext>
          </c:extLst>
        </c:ser>
        <c:dLbls>
          <c:showLegendKey val="0"/>
          <c:showVal val="0"/>
          <c:showCatName val="0"/>
          <c:showSerName val="0"/>
          <c:showPercent val="0"/>
          <c:showBubbleSize val="0"/>
        </c:dLbls>
        <c:marker val="1"/>
        <c:smooth val="0"/>
        <c:axId val="811563648"/>
        <c:axId val="811561728"/>
      </c:lineChart>
      <c:catAx>
        <c:axId val="811563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561728"/>
        <c:crosses val="autoZero"/>
        <c:auto val="1"/>
        <c:lblAlgn val="ctr"/>
        <c:lblOffset val="100"/>
        <c:noMultiLvlLbl val="0"/>
      </c:catAx>
      <c:valAx>
        <c:axId val="81156172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156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[Retail_Sales_Data.xlsx]Monthly Sales Trend!PivotTable3</c:name>
    <c:fmtId val="32"/>
  </c:pivotSource>
  <c:chart>
    <c:title>
      <c:tx>
        <c:rich>
          <a:bodyPr rot="0" spcFirstLastPara="1" vertOverflow="ellipsis" vert="horz" wrap="square" anchor="ctr" anchorCtr="1"/>
          <a:lstStyle/>
          <a:p>
            <a:pPr>
              <a:defRPr sz="1600" b="0" i="0" u="none" strike="noStrike" kern="1200" spc="0" baseline="0">
                <a:solidFill>
                  <a:schemeClr val="bg2"/>
                </a:solidFill>
                <a:latin typeface="Times New Roman" panose="02020603050405020304" pitchFamily="18" charset="0"/>
                <a:ea typeface="+mn-ea"/>
                <a:cs typeface="Times New Roman" panose="02020603050405020304" pitchFamily="18" charset="0"/>
              </a:defRPr>
            </a:pPr>
            <a:r>
              <a:rPr lang="en-IN" sz="1600">
                <a:solidFill>
                  <a:schemeClr val="bg2"/>
                </a:solidFill>
                <a:latin typeface="Times New Roman" panose="02020603050405020304" pitchFamily="18" charset="0"/>
                <a:cs typeface="Times New Roman" panose="02020603050405020304" pitchFamily="18" charset="0"/>
              </a:rPr>
              <a:t>Category Profit Share</a:t>
            </a:r>
            <a:endParaRPr lang="en-US" sz="1600">
              <a:solidFill>
                <a:schemeClr val="bg2"/>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bg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'Monthly Sales Trend'!$E$9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95-401E-BDC9-2DCC4DABA1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95-401E-BDC9-2DCC4DABA1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'Monthly Sales Trend'!$D$10:$D$12</c:f>
              <c:strCache>
                <c:ptCount val="2"/>
                <c:pt idx="0">
                  <c:v>Feb-2024</c:v>
                </c:pt>
                <c:pt idx="1">
                  <c:v>Jan-2024</c:v>
                </c:pt>
              </c:strCache>
            </c:strRef>
          </c:cat>
          <c:val>
            <c:numRef>
              <c:f>'Monthly Sales Trend'!$E$10:$E$12</c:f>
              <c:numCache>
                <c:formatCode>General</c:formatCode>
                <c:ptCount val="2"/>
                <c:pt idx="0">
                  <c:v>21000</c:v>
                </c:pt>
                <c:pt idx="1">
                  <c:v>12800</c:v>
                </c:pt>
              </c:numCache>
            </c:numRef>
          </c:val>
          <c:extLst>
            <c:ext xmlns:c16="http://schemas.microsoft.com/office/drawing/2014/chart" uri="{C3380CC4-5D6E-409C-BE32-E72D297353CC}">
              <c16:uniqueId val="{00000004-7195-401E-BDC9-2DCC4DABA1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e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259080</xdr:colOff>
      <xdr:row>5</xdr:row>
      <xdr:rowOff>171450</xdr:rowOff>
    </xdr:from>
    <xdr:to>
      <xdr:col>13</xdr:col>
      <xdr:colOff>563880</xdr:colOff>
      <xdr:row>20</xdr:row>
      <xdr:rowOff>171450</xdr:rowOff>
    </xdr:to>
    <xdr:graphicFrame macro="">
      <xdr:nvGraphicFramePr>
        <xdr:cNvPr id="2" name="Chart 1">
          <a:extLst>
            <a:ext uri="{FF2B5EF4-FFF2-40B4-BE49-F238E27FC236}">
              <a16:creationId xmlns:a16="http://schemas.microsoft.com/office/drawing/2014/main" id="{91811AA9-933B-A3CC-843E-C10B1E530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198120</xdr:colOff>
      <xdr:row>4</xdr:row>
      <xdr:rowOff>106680</xdr:rowOff>
    </xdr:from>
    <xdr:to>
      <xdr:col>14</xdr:col>
      <xdr:colOff>510540</xdr:colOff>
      <xdr:row>21</xdr:row>
      <xdr:rowOff>41910</xdr:rowOff>
    </xdr:to>
    <xdr:graphicFrame macro="">
      <xdr:nvGraphicFramePr>
        <xdr:cNvPr id="2" name="Chart 1">
          <a:extLst>
            <a:ext uri="{FF2B5EF4-FFF2-40B4-BE49-F238E27FC236}">
              <a16:creationId xmlns:a16="http://schemas.microsoft.com/office/drawing/2014/main" id="{383A5A3B-8877-EA7E-372D-569039AB35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99060</xdr:colOff>
      <xdr:row>6</xdr:row>
      <xdr:rowOff>26670</xdr:rowOff>
    </xdr:from>
    <xdr:to>
      <xdr:col>13</xdr:col>
      <xdr:colOff>403860</xdr:colOff>
      <xdr:row>21</xdr:row>
      <xdr:rowOff>26670</xdr:rowOff>
    </xdr:to>
    <xdr:graphicFrame macro="">
      <xdr:nvGraphicFramePr>
        <xdr:cNvPr id="2" name="Chart 1">
          <a:extLst>
            <a:ext uri="{FF2B5EF4-FFF2-40B4-BE49-F238E27FC236}">
              <a16:creationId xmlns:a16="http://schemas.microsoft.com/office/drawing/2014/main" id="{8A8B27D1-BCC0-A4D8-01F3-829A9AAA5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40</xdr:col>
      <xdr:colOff>187574</xdr:colOff>
      <xdr:row>65</xdr:row>
      <xdr:rowOff>70883</xdr:rowOff>
    </xdr:to>
    <xdr:pic>
      <xdr:nvPicPr>
        <xdr:cNvPr id="4" name="Picture 3">
          <a:extLst>
            <a:ext uri="{FF2B5EF4-FFF2-40B4-BE49-F238E27FC236}">
              <a16:creationId xmlns:a16="http://schemas.microsoft.com/office/drawing/2014/main" id="{BB0FA59E-7053-7324-F34F-F22CBE113A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 y="0"/>
          <a:ext cx="25075956" cy="11589488"/>
        </a:xfrm>
        <a:prstGeom prst="rect">
          <a:avLst/>
        </a:prstGeom>
      </xdr:spPr>
    </xdr:pic>
    <xdr:clientData/>
  </xdr:twoCellAnchor>
  <xdr:twoCellAnchor>
    <xdr:from>
      <xdr:col>0</xdr:col>
      <xdr:colOff>335279</xdr:colOff>
      <xdr:row>10</xdr:row>
      <xdr:rowOff>99060</xdr:rowOff>
    </xdr:from>
    <xdr:to>
      <xdr:col>6</xdr:col>
      <xdr:colOff>563216</xdr:colOff>
      <xdr:row>23</xdr:row>
      <xdr:rowOff>121478</xdr:rowOff>
    </xdr:to>
    <xdr:graphicFrame macro="">
      <xdr:nvGraphicFramePr>
        <xdr:cNvPr id="5" name="Chart 4">
          <a:extLst>
            <a:ext uri="{FF2B5EF4-FFF2-40B4-BE49-F238E27FC236}">
              <a16:creationId xmlns:a16="http://schemas.microsoft.com/office/drawing/2014/main" id="{6121E2D4-89E6-466A-BF90-44F33C1D2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266700</xdr:colOff>
      <xdr:row>1</xdr:row>
      <xdr:rowOff>99059</xdr:rowOff>
    </xdr:from>
    <xdr:to>
      <xdr:col>14</xdr:col>
      <xdr:colOff>266700</xdr:colOff>
      <xdr:row>5</xdr:row>
      <xdr:rowOff>165651</xdr:rowOff>
    </xdr:to>
    <xdr:sp macro="" textlink="">
      <xdr:nvSpPr>
        <xdr:cNvPr id="6" name="TextBox 5">
          <a:extLst>
            <a:ext uri="{FF2B5EF4-FFF2-40B4-BE49-F238E27FC236}">
              <a16:creationId xmlns:a16="http://schemas.microsoft.com/office/drawing/2014/main" id="{BD333597-2F43-3B0A-750C-2655AFD3DB3A}"/>
            </a:ext>
          </a:extLst>
        </xdr:cNvPr>
        <xdr:cNvSpPr txBox="1"/>
      </xdr:nvSpPr>
      <xdr:spPr>
        <a:xfrm>
          <a:off x="3911048" y="286798"/>
          <a:ext cx="5643217" cy="817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0">
              <a:solidFill>
                <a:srgbClr val="FF0000"/>
              </a:solidFill>
              <a:latin typeface="Times New Roman" panose="02020603050405020304" pitchFamily="18" charset="0"/>
              <a:cs typeface="Times New Roman" panose="02020603050405020304" pitchFamily="18" charset="0"/>
            </a:rPr>
            <a:t>Retails</a:t>
          </a:r>
          <a:r>
            <a:rPr lang="en-IN" sz="5000" baseline="0">
              <a:solidFill>
                <a:srgbClr val="FF0000"/>
              </a:solidFill>
              <a:latin typeface="Times New Roman" panose="02020603050405020304" pitchFamily="18" charset="0"/>
              <a:cs typeface="Times New Roman" panose="02020603050405020304" pitchFamily="18" charset="0"/>
            </a:rPr>
            <a:t> sales anaylser </a:t>
          </a:r>
          <a:endParaRPr lang="en-IN" sz="50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647700</xdr:colOff>
      <xdr:row>10</xdr:row>
      <xdr:rowOff>91440</xdr:rowOff>
    </xdr:from>
    <xdr:to>
      <xdr:col>13</xdr:col>
      <xdr:colOff>548640</xdr:colOff>
      <xdr:row>24</xdr:row>
      <xdr:rowOff>55218</xdr:rowOff>
    </xdr:to>
    <xdr:graphicFrame macro="">
      <xdr:nvGraphicFramePr>
        <xdr:cNvPr id="7" name="Chart 6">
          <a:extLst>
            <a:ext uri="{FF2B5EF4-FFF2-40B4-BE49-F238E27FC236}">
              <a16:creationId xmlns:a16="http://schemas.microsoft.com/office/drawing/2014/main" id="{FA23D4BF-CE43-4261-98D1-0169DB68A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159560</xdr:colOff>
      <xdr:row>30</xdr:row>
      <xdr:rowOff>3046</xdr:rowOff>
    </xdr:from>
    <xdr:to>
      <xdr:col>10</xdr:col>
      <xdr:colOff>320261</xdr:colOff>
      <xdr:row>44</xdr:row>
      <xdr:rowOff>175020</xdr:rowOff>
    </xdr:to>
    <xdr:graphicFrame macro="">
      <xdr:nvGraphicFramePr>
        <xdr:cNvPr id="9" name="Chart 8">
          <a:extLst>
            <a:ext uri="{FF2B5EF4-FFF2-40B4-BE49-F238E27FC236}">
              <a16:creationId xmlns:a16="http://schemas.microsoft.com/office/drawing/2014/main" id="{2DEAD0D1-EDD4-4B14-827E-C05316E10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180974</xdr:colOff>
      <xdr:row>9</xdr:row>
      <xdr:rowOff>45720</xdr:rowOff>
    </xdr:from>
    <xdr:to>
      <xdr:col>21</xdr:col>
      <xdr:colOff>57149</xdr:colOff>
      <xdr:row>17</xdr:row>
      <xdr:rowOff>114300</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A92D088F-FAB9-FB92-2D43-0D8D44E536E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107294" y="1691640"/>
              <a:ext cx="3533775" cy="15316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70485</xdr:colOff>
      <xdr:row>30</xdr:row>
      <xdr:rowOff>114300</xdr:rowOff>
    </xdr:from>
    <xdr:to>
      <xdr:col>18</xdr:col>
      <xdr:colOff>70485</xdr:colOff>
      <xdr:row>44</xdr:row>
      <xdr:rowOff>47625</xdr:rowOff>
    </xdr:to>
    <mc:AlternateContent xmlns:mc="http://schemas.openxmlformats.org/markup-compatibility/2006" xmlns:a14="http://schemas.microsoft.com/office/drawing/2010/main">
      <mc:Choice Requires="a14">
        <xdr:graphicFrame macro="">
          <xdr:nvGraphicFramePr>
            <xdr:cNvPr id="11" name="Order Date 1">
              <a:extLst>
                <a:ext uri="{FF2B5EF4-FFF2-40B4-BE49-F238E27FC236}">
                  <a16:creationId xmlns:a16="http://schemas.microsoft.com/office/drawing/2014/main" id="{31BC3215-5D19-912B-CB02-8AE9F0A5C1B0}"/>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9996805" y="5600700"/>
              <a:ext cx="1828800" cy="2493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226695</xdr:colOff>
      <xdr:row>25</xdr:row>
      <xdr:rowOff>76200</xdr:rowOff>
    </xdr:from>
    <xdr:to>
      <xdr:col>21</xdr:col>
      <xdr:colOff>226695</xdr:colOff>
      <xdr:row>29</xdr:row>
      <xdr:rowOff>123825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6582AF2-8352-CBC6-C507-8949348ADB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81815" y="4648200"/>
              <a:ext cx="1828800" cy="779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78105</xdr:colOff>
      <xdr:row>25</xdr:row>
      <xdr:rowOff>45720</xdr:rowOff>
    </xdr:from>
    <xdr:to>
      <xdr:col>18</xdr:col>
      <xdr:colOff>78105</xdr:colOff>
      <xdr:row>29</xdr:row>
      <xdr:rowOff>142875</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34B177E2-D764-8FCE-82C5-90985111C36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004425" y="4617720"/>
              <a:ext cx="1828800" cy="828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186690</xdr:colOff>
      <xdr:row>19</xdr:row>
      <xdr:rowOff>104775</xdr:rowOff>
    </xdr:from>
    <xdr:to>
      <xdr:col>21</xdr:col>
      <xdr:colOff>186690</xdr:colOff>
      <xdr:row>24</xdr:row>
      <xdr:rowOff>9525</xdr:rowOff>
    </xdr:to>
    <mc:AlternateContent xmlns:mc="http://schemas.openxmlformats.org/markup-compatibility/2006" xmlns:a14="http://schemas.microsoft.com/office/drawing/2010/main">
      <mc:Choice Requires="a14">
        <xdr:graphicFrame macro="">
          <xdr:nvGraphicFramePr>
            <xdr:cNvPr id="14" name="Sales">
              <a:extLst>
                <a:ext uri="{FF2B5EF4-FFF2-40B4-BE49-F238E27FC236}">
                  <a16:creationId xmlns:a16="http://schemas.microsoft.com/office/drawing/2014/main" id="{1EFD833E-D177-B679-1426-BD5CBDE6B043}"/>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1941810" y="3579495"/>
              <a:ext cx="1828800" cy="81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133350</xdr:colOff>
      <xdr:row>19</xdr:row>
      <xdr:rowOff>100965</xdr:rowOff>
    </xdr:from>
    <xdr:to>
      <xdr:col>18</xdr:col>
      <xdr:colOff>133350</xdr:colOff>
      <xdr:row>24</xdr:row>
      <xdr:rowOff>47625</xdr:rowOff>
    </xdr:to>
    <mc:AlternateContent xmlns:mc="http://schemas.openxmlformats.org/markup-compatibility/2006" xmlns:a14="http://schemas.microsoft.com/office/drawing/2010/main">
      <mc:Choice Requires="a14">
        <xdr:graphicFrame macro="">
          <xdr:nvGraphicFramePr>
            <xdr:cNvPr id="15" name="month">
              <a:extLst>
                <a:ext uri="{FF2B5EF4-FFF2-40B4-BE49-F238E27FC236}">
                  <a16:creationId xmlns:a16="http://schemas.microsoft.com/office/drawing/2014/main" id="{529ACD13-C84B-528A-9DF9-BFA32B38449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059670" y="3575685"/>
              <a:ext cx="1828800" cy="861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259080</xdr:colOff>
      <xdr:row>30</xdr:row>
      <xdr:rowOff>135255</xdr:rowOff>
    </xdr:from>
    <xdr:to>
      <xdr:col>21</xdr:col>
      <xdr:colOff>259080</xdr:colOff>
      <xdr:row>44</xdr:row>
      <xdr:rowOff>68580</xdr:rowOff>
    </xdr:to>
    <mc:AlternateContent xmlns:mc="http://schemas.openxmlformats.org/markup-compatibility/2006" xmlns:a14="http://schemas.microsoft.com/office/drawing/2010/main">
      <mc:Choice Requires="a14">
        <xdr:graphicFrame macro="">
          <xdr:nvGraphicFramePr>
            <xdr:cNvPr id="16" name="Profit">
              <a:extLst>
                <a:ext uri="{FF2B5EF4-FFF2-40B4-BE49-F238E27FC236}">
                  <a16:creationId xmlns:a16="http://schemas.microsoft.com/office/drawing/2014/main" id="{839018F3-DD99-071F-8713-DCB53885A5FE}"/>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12014200" y="5621655"/>
              <a:ext cx="1828800" cy="2493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KUMAR SATYAWADA" refreshedDate="46050.750602662039" createdVersion="8" refreshedVersion="8" minRefreshableVersion="3" recordCount="50" xr:uid="{90E39E02-FE26-4999-B5E1-377A1ECF6CE5}">
  <cacheSource type="worksheet">
    <worksheetSource ref="A1:H51" sheet="Sheet1"/>
  </cacheSource>
  <cacheFields count="8">
    <cacheField name="Order Date" numFmtId="164">
      <sharedItems containsSemiMixedTypes="0" containsNonDate="0" containsDate="1" containsString="0" minDate="2024-01-01T00:00:00" maxDate="2024-02-20T00:00:00" count="5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sharedItems>
    </cacheField>
    <cacheField name="Region" numFmtId="0">
      <sharedItems count="4">
        <s v="South"/>
        <s v="North"/>
        <s v="East"/>
        <s v="West"/>
      </sharedItems>
    </cacheField>
    <cacheField name="Category" numFmtId="0">
      <sharedItems count="4">
        <s v="Electronics"/>
        <s v="Furniture"/>
        <s v="Clothing"/>
        <s v="Groceries"/>
      </sharedItems>
    </cacheField>
    <cacheField name="Product" numFmtId="0">
      <sharedItems count="4">
        <s v="Product A"/>
        <s v="Product B"/>
        <s v="Product C"/>
        <s v="Product D"/>
      </sharedItems>
    </cacheField>
    <cacheField name="Sales" numFmtId="0">
      <sharedItems containsSemiMixedTypes="0" containsString="0" containsNumber="1" containsInteger="1" minValue="100" maxValue="5000" count="50">
        <n v="100"/>
        <n v="200"/>
        <n v="300"/>
        <n v="400"/>
        <n v="500"/>
        <n v="600"/>
        <n v="700"/>
        <n v="800"/>
        <n v="900"/>
        <n v="1000"/>
        <n v="1100"/>
        <n v="1200"/>
        <n v="1300"/>
        <n v="1400"/>
        <n v="1500"/>
        <n v="1600"/>
        <n v="1700"/>
        <n v="1800"/>
        <n v="1900"/>
        <n v="2000"/>
        <n v="2100"/>
        <n v="2200"/>
        <n v="2300"/>
        <n v="2400"/>
        <n v="2500"/>
        <n v="2600"/>
        <n v="2700"/>
        <n v="2800"/>
        <n v="2900"/>
        <n v="3000"/>
        <n v="3100"/>
        <n v="3200"/>
        <n v="3300"/>
        <n v="3400"/>
        <n v="3500"/>
        <n v="3600"/>
        <n v="3700"/>
        <n v="3800"/>
        <n v="3900"/>
        <n v="4000"/>
        <n v="4100"/>
        <n v="4200"/>
        <n v="4300"/>
        <n v="4400"/>
        <n v="4500"/>
        <n v="4600"/>
        <n v="4700"/>
        <n v="4800"/>
        <n v="4900"/>
        <n v="5000"/>
      </sharedItems>
    </cacheField>
    <cacheField name="Quantity" numFmtId="0">
      <sharedItems containsSemiMixedTypes="0" containsString="0" containsNumber="1" containsInteger="1" minValue="1" maxValue="5"/>
    </cacheField>
    <cacheField name="Profit" numFmtId="0">
      <sharedItems containsSemiMixedTypes="0" containsString="0" containsNumber="1" containsInteger="1" minValue="20" maxValue="1000" count="50">
        <n v="20"/>
        <n v="40"/>
        <n v="60"/>
        <n v="80"/>
        <n v="100"/>
        <n v="120"/>
        <n v="140"/>
        <n v="160"/>
        <n v="180"/>
        <n v="200"/>
        <n v="220"/>
        <n v="240"/>
        <n v="260"/>
        <n v="280"/>
        <n v="300"/>
        <n v="320"/>
        <n v="340"/>
        <n v="360"/>
        <n v="380"/>
        <n v="400"/>
        <n v="420"/>
        <n v="440"/>
        <n v="460"/>
        <n v="480"/>
        <n v="500"/>
        <n v="520"/>
        <n v="540"/>
        <n v="560"/>
        <n v="580"/>
        <n v="600"/>
        <n v="620"/>
        <n v="640"/>
        <n v="660"/>
        <n v="680"/>
        <n v="700"/>
        <n v="720"/>
        <n v="740"/>
        <n v="760"/>
        <n v="780"/>
        <n v="800"/>
        <n v="820"/>
        <n v="840"/>
        <n v="860"/>
        <n v="880"/>
        <n v="900"/>
        <n v="920"/>
        <n v="940"/>
        <n v="960"/>
        <n v="980"/>
        <n v="1000"/>
      </sharedItems>
    </cacheField>
    <cacheField name="month" numFmtId="0">
      <sharedItems count="2">
        <s v="Jan-2024"/>
        <s v="Feb-2024"/>
      </sharedItems>
    </cacheField>
  </cacheFields>
  <extLst>
    <ext xmlns:x14="http://schemas.microsoft.com/office/spreadsheetml/2009/9/main" uri="{725AE2AE-9491-48be-B2B4-4EB974FC3084}">
      <x14:pivotCacheDefinition pivotCacheId="1747692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n v="1"/>
    <x v="0"/>
    <x v="0"/>
  </r>
  <r>
    <x v="1"/>
    <x v="1"/>
    <x v="1"/>
    <x v="1"/>
    <x v="1"/>
    <n v="2"/>
    <x v="1"/>
    <x v="0"/>
  </r>
  <r>
    <x v="2"/>
    <x v="2"/>
    <x v="2"/>
    <x v="2"/>
    <x v="2"/>
    <n v="3"/>
    <x v="2"/>
    <x v="0"/>
  </r>
  <r>
    <x v="3"/>
    <x v="3"/>
    <x v="3"/>
    <x v="3"/>
    <x v="3"/>
    <n v="4"/>
    <x v="3"/>
    <x v="0"/>
  </r>
  <r>
    <x v="4"/>
    <x v="0"/>
    <x v="0"/>
    <x v="0"/>
    <x v="4"/>
    <n v="5"/>
    <x v="4"/>
    <x v="0"/>
  </r>
  <r>
    <x v="5"/>
    <x v="1"/>
    <x v="1"/>
    <x v="1"/>
    <x v="5"/>
    <n v="1"/>
    <x v="5"/>
    <x v="0"/>
  </r>
  <r>
    <x v="6"/>
    <x v="2"/>
    <x v="2"/>
    <x v="2"/>
    <x v="6"/>
    <n v="2"/>
    <x v="6"/>
    <x v="0"/>
  </r>
  <r>
    <x v="7"/>
    <x v="3"/>
    <x v="3"/>
    <x v="3"/>
    <x v="7"/>
    <n v="3"/>
    <x v="7"/>
    <x v="0"/>
  </r>
  <r>
    <x v="8"/>
    <x v="0"/>
    <x v="0"/>
    <x v="0"/>
    <x v="8"/>
    <n v="4"/>
    <x v="8"/>
    <x v="0"/>
  </r>
  <r>
    <x v="9"/>
    <x v="1"/>
    <x v="1"/>
    <x v="1"/>
    <x v="9"/>
    <n v="5"/>
    <x v="9"/>
    <x v="0"/>
  </r>
  <r>
    <x v="10"/>
    <x v="2"/>
    <x v="2"/>
    <x v="2"/>
    <x v="10"/>
    <n v="1"/>
    <x v="10"/>
    <x v="0"/>
  </r>
  <r>
    <x v="11"/>
    <x v="3"/>
    <x v="3"/>
    <x v="3"/>
    <x v="11"/>
    <n v="2"/>
    <x v="11"/>
    <x v="0"/>
  </r>
  <r>
    <x v="12"/>
    <x v="0"/>
    <x v="0"/>
    <x v="0"/>
    <x v="12"/>
    <n v="3"/>
    <x v="12"/>
    <x v="0"/>
  </r>
  <r>
    <x v="13"/>
    <x v="1"/>
    <x v="1"/>
    <x v="1"/>
    <x v="13"/>
    <n v="4"/>
    <x v="13"/>
    <x v="0"/>
  </r>
  <r>
    <x v="14"/>
    <x v="2"/>
    <x v="2"/>
    <x v="2"/>
    <x v="14"/>
    <n v="5"/>
    <x v="14"/>
    <x v="0"/>
  </r>
  <r>
    <x v="15"/>
    <x v="3"/>
    <x v="3"/>
    <x v="3"/>
    <x v="15"/>
    <n v="1"/>
    <x v="15"/>
    <x v="0"/>
  </r>
  <r>
    <x v="16"/>
    <x v="0"/>
    <x v="0"/>
    <x v="0"/>
    <x v="16"/>
    <n v="2"/>
    <x v="16"/>
    <x v="0"/>
  </r>
  <r>
    <x v="17"/>
    <x v="1"/>
    <x v="1"/>
    <x v="1"/>
    <x v="17"/>
    <n v="3"/>
    <x v="17"/>
    <x v="0"/>
  </r>
  <r>
    <x v="18"/>
    <x v="2"/>
    <x v="2"/>
    <x v="2"/>
    <x v="18"/>
    <n v="4"/>
    <x v="18"/>
    <x v="0"/>
  </r>
  <r>
    <x v="19"/>
    <x v="3"/>
    <x v="3"/>
    <x v="3"/>
    <x v="19"/>
    <n v="5"/>
    <x v="19"/>
    <x v="0"/>
  </r>
  <r>
    <x v="20"/>
    <x v="0"/>
    <x v="0"/>
    <x v="0"/>
    <x v="20"/>
    <n v="1"/>
    <x v="20"/>
    <x v="0"/>
  </r>
  <r>
    <x v="21"/>
    <x v="1"/>
    <x v="1"/>
    <x v="1"/>
    <x v="21"/>
    <n v="2"/>
    <x v="21"/>
    <x v="0"/>
  </r>
  <r>
    <x v="22"/>
    <x v="2"/>
    <x v="2"/>
    <x v="2"/>
    <x v="22"/>
    <n v="3"/>
    <x v="22"/>
    <x v="0"/>
  </r>
  <r>
    <x v="23"/>
    <x v="3"/>
    <x v="3"/>
    <x v="3"/>
    <x v="23"/>
    <n v="4"/>
    <x v="23"/>
    <x v="0"/>
  </r>
  <r>
    <x v="24"/>
    <x v="0"/>
    <x v="0"/>
    <x v="0"/>
    <x v="24"/>
    <n v="5"/>
    <x v="24"/>
    <x v="0"/>
  </r>
  <r>
    <x v="25"/>
    <x v="1"/>
    <x v="1"/>
    <x v="1"/>
    <x v="25"/>
    <n v="1"/>
    <x v="25"/>
    <x v="0"/>
  </r>
  <r>
    <x v="26"/>
    <x v="2"/>
    <x v="2"/>
    <x v="2"/>
    <x v="26"/>
    <n v="2"/>
    <x v="26"/>
    <x v="0"/>
  </r>
  <r>
    <x v="27"/>
    <x v="3"/>
    <x v="3"/>
    <x v="3"/>
    <x v="27"/>
    <n v="3"/>
    <x v="27"/>
    <x v="0"/>
  </r>
  <r>
    <x v="28"/>
    <x v="0"/>
    <x v="0"/>
    <x v="0"/>
    <x v="28"/>
    <n v="4"/>
    <x v="28"/>
    <x v="0"/>
  </r>
  <r>
    <x v="29"/>
    <x v="1"/>
    <x v="1"/>
    <x v="1"/>
    <x v="29"/>
    <n v="5"/>
    <x v="29"/>
    <x v="0"/>
  </r>
  <r>
    <x v="30"/>
    <x v="2"/>
    <x v="2"/>
    <x v="2"/>
    <x v="30"/>
    <n v="1"/>
    <x v="30"/>
    <x v="0"/>
  </r>
  <r>
    <x v="31"/>
    <x v="3"/>
    <x v="3"/>
    <x v="3"/>
    <x v="31"/>
    <n v="2"/>
    <x v="31"/>
    <x v="1"/>
  </r>
  <r>
    <x v="32"/>
    <x v="0"/>
    <x v="0"/>
    <x v="0"/>
    <x v="32"/>
    <n v="3"/>
    <x v="32"/>
    <x v="1"/>
  </r>
  <r>
    <x v="33"/>
    <x v="1"/>
    <x v="1"/>
    <x v="1"/>
    <x v="33"/>
    <n v="4"/>
    <x v="33"/>
    <x v="1"/>
  </r>
  <r>
    <x v="34"/>
    <x v="2"/>
    <x v="2"/>
    <x v="2"/>
    <x v="34"/>
    <n v="5"/>
    <x v="34"/>
    <x v="1"/>
  </r>
  <r>
    <x v="35"/>
    <x v="3"/>
    <x v="3"/>
    <x v="3"/>
    <x v="35"/>
    <n v="1"/>
    <x v="35"/>
    <x v="1"/>
  </r>
  <r>
    <x v="36"/>
    <x v="0"/>
    <x v="0"/>
    <x v="0"/>
    <x v="36"/>
    <n v="2"/>
    <x v="36"/>
    <x v="1"/>
  </r>
  <r>
    <x v="37"/>
    <x v="1"/>
    <x v="1"/>
    <x v="1"/>
    <x v="37"/>
    <n v="3"/>
    <x v="37"/>
    <x v="1"/>
  </r>
  <r>
    <x v="38"/>
    <x v="2"/>
    <x v="2"/>
    <x v="2"/>
    <x v="38"/>
    <n v="4"/>
    <x v="38"/>
    <x v="1"/>
  </r>
  <r>
    <x v="39"/>
    <x v="3"/>
    <x v="3"/>
    <x v="3"/>
    <x v="39"/>
    <n v="5"/>
    <x v="39"/>
    <x v="1"/>
  </r>
  <r>
    <x v="40"/>
    <x v="0"/>
    <x v="0"/>
    <x v="0"/>
    <x v="40"/>
    <n v="1"/>
    <x v="40"/>
    <x v="1"/>
  </r>
  <r>
    <x v="41"/>
    <x v="1"/>
    <x v="1"/>
    <x v="1"/>
    <x v="41"/>
    <n v="2"/>
    <x v="41"/>
    <x v="1"/>
  </r>
  <r>
    <x v="42"/>
    <x v="2"/>
    <x v="2"/>
    <x v="2"/>
    <x v="42"/>
    <n v="3"/>
    <x v="42"/>
    <x v="1"/>
  </r>
  <r>
    <x v="43"/>
    <x v="3"/>
    <x v="3"/>
    <x v="3"/>
    <x v="43"/>
    <n v="4"/>
    <x v="43"/>
    <x v="1"/>
  </r>
  <r>
    <x v="44"/>
    <x v="0"/>
    <x v="0"/>
    <x v="0"/>
    <x v="44"/>
    <n v="5"/>
    <x v="44"/>
    <x v="1"/>
  </r>
  <r>
    <x v="45"/>
    <x v="1"/>
    <x v="1"/>
    <x v="1"/>
    <x v="45"/>
    <n v="1"/>
    <x v="45"/>
    <x v="1"/>
  </r>
  <r>
    <x v="46"/>
    <x v="2"/>
    <x v="2"/>
    <x v="2"/>
    <x v="46"/>
    <n v="2"/>
    <x v="46"/>
    <x v="1"/>
  </r>
  <r>
    <x v="47"/>
    <x v="3"/>
    <x v="3"/>
    <x v="3"/>
    <x v="47"/>
    <n v="3"/>
    <x v="47"/>
    <x v="1"/>
  </r>
  <r>
    <x v="48"/>
    <x v="0"/>
    <x v="0"/>
    <x v="0"/>
    <x v="48"/>
    <n v="4"/>
    <x v="48"/>
    <x v="1"/>
  </r>
  <r>
    <x v="49"/>
    <x v="1"/>
    <x v="1"/>
    <x v="1"/>
    <x v="49"/>
    <n v="5"/>
    <x v="4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EF7641-7446-421D-9E85-751B53E11DA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D9:E12" firstHeaderRow="1" firstDataRow="1" firstDataCol="1"/>
  <pivotFields count="8">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showAll="0">
      <items count="5">
        <item h="1" x="0"/>
        <item x="1"/>
        <item h="1" x="2"/>
        <item h="1" x="3"/>
        <item t="default"/>
      </items>
    </pivotField>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3">
        <item x="1"/>
        <item x="0"/>
        <item t="default"/>
      </items>
    </pivotField>
  </pivotFields>
  <rowFields count="1">
    <field x="7"/>
  </rowFields>
  <rowItems count="3">
    <i>
      <x/>
    </i>
    <i>
      <x v="1"/>
    </i>
    <i t="grand">
      <x/>
    </i>
  </rowItems>
  <colItems count="1">
    <i/>
  </colItems>
  <dataFields count="1">
    <dataField name="Sum of Sales" fld="4"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30" format="3" series="1">
      <pivotArea type="data" outline="0" fieldPosition="0">
        <references count="1">
          <reference field="4294967294" count="1" selected="0">
            <x v="0"/>
          </reference>
        </references>
      </pivotArea>
    </chartFormat>
    <chartFormat chart="30" format="4">
      <pivotArea type="data" outline="0" fieldPosition="0">
        <references count="2">
          <reference field="4294967294" count="1" selected="0">
            <x v="0"/>
          </reference>
          <reference field="7" count="1" selected="0">
            <x v="0"/>
          </reference>
        </references>
      </pivotArea>
    </chartFormat>
    <chartFormat chart="30" format="5">
      <pivotArea type="data" outline="0" fieldPosition="0">
        <references count="2">
          <reference field="4294967294" count="1" selected="0">
            <x v="0"/>
          </reference>
          <reference field="7" count="1" selected="0">
            <x v="1"/>
          </reference>
        </references>
      </pivotArea>
    </chartFormat>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7" count="1" selected="0">
            <x v="0"/>
          </reference>
        </references>
      </pivotArea>
    </chartFormat>
    <chartFormat chart="31" format="8">
      <pivotArea type="data" outline="0" fieldPosition="0">
        <references count="2">
          <reference field="4294967294" count="1" selected="0">
            <x v="0"/>
          </reference>
          <reference field="7" count="1" selected="0">
            <x v="1"/>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7" count="1" selected="0">
            <x v="0"/>
          </reference>
        </references>
      </pivotArea>
    </chartFormat>
    <chartFormat chart="3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F0EA93-1C52-4E9E-A9F0-F23B8EBC8F58}"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D10:E12" firstHeaderRow="1" firstDataRow="1" firstDataCol="1"/>
  <pivotFields count="8">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
        <item h="1" x="2"/>
        <item x="1"/>
        <item h="1" x="0"/>
        <item h="1" x="3"/>
        <item t="default"/>
      </items>
    </pivotField>
    <pivotField axis="axisRow" showAll="0">
      <items count="5">
        <item x="2"/>
        <item x="0"/>
        <item x="1"/>
        <item x="3"/>
        <item t="default"/>
      </items>
    </pivotField>
    <pivotField showAll="0">
      <items count="5">
        <item h="1" x="0"/>
        <item x="1"/>
        <item h="1" x="2"/>
        <item h="1" x="3"/>
        <item t="default"/>
      </items>
    </pivotField>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3">
        <item x="1"/>
        <item x="0"/>
        <item t="default"/>
      </items>
    </pivotField>
  </pivotFields>
  <rowFields count="1">
    <field x="2"/>
  </rowFields>
  <rowItems count="2">
    <i>
      <x v="2"/>
    </i>
    <i t="grand">
      <x/>
    </i>
  </rowItems>
  <colItems count="1">
    <i/>
  </colItems>
  <dataFields count="1">
    <dataField name="Sum of Profit" fld="6" baseField="0" baseItem="0"/>
  </dataFields>
  <chartFormats count="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DDCFEA-FD42-4EB5-B97B-D89B523CB46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C11:D13" firstHeaderRow="1" firstDataRow="1" firstDataCol="1"/>
  <pivotFields count="8">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2"/>
        <item x="1"/>
        <item x="0"/>
        <item x="3"/>
        <item t="default"/>
      </items>
    </pivotField>
    <pivotField showAll="0"/>
    <pivotField showAll="0">
      <items count="5">
        <item h="1" x="0"/>
        <item x="1"/>
        <item h="1" x="2"/>
        <item h="1" x="3"/>
        <item t="default"/>
      </items>
    </pivotField>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3">
        <item x="1"/>
        <item x="0"/>
        <item t="default"/>
      </items>
    </pivotField>
  </pivotFields>
  <rowFields count="1">
    <field x="1"/>
  </rowFields>
  <rowItems count="2">
    <i>
      <x v="1"/>
    </i>
    <i t="grand">
      <x/>
    </i>
  </rowItems>
  <colItems count="1">
    <i/>
  </colItems>
  <dataFields count="1">
    <dataField name="Sum of Sales" fld="4" baseField="0" baseItem="0"/>
  </dataFields>
  <chartFormats count="4">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45A824F2-E77E-44DD-B69D-7D53240CAB27}" sourceName="Order Date">
  <pivotTables>
    <pivotTable tabId="4" name="PivotTable2"/>
    <pivotTable tabId="5" name="PivotTable3"/>
    <pivotTable tabId="3" name="PivotTable1"/>
  </pivotTables>
  <data>
    <tabular pivotCacheId="174769246">
      <items count="50">
        <i x="1" s="1"/>
        <i x="5" s="1"/>
        <i x="9" s="1"/>
        <i x="13" s="1"/>
        <i x="17" s="1"/>
        <i x="21" s="1"/>
        <i x="25" s="1"/>
        <i x="29" s="1"/>
        <i x="33" s="1"/>
        <i x="37" s="1"/>
        <i x="41" s="1"/>
        <i x="45" s="1"/>
        <i x="49" s="1"/>
        <i x="0" s="1" nd="1"/>
        <i x="2" s="1" nd="1"/>
        <i x="3" s="1" nd="1"/>
        <i x="4" s="1" nd="1"/>
        <i x="6" s="1" nd="1"/>
        <i x="7" s="1" nd="1"/>
        <i x="8" s="1" nd="1"/>
        <i x="10" s="1" nd="1"/>
        <i x="11" s="1" nd="1"/>
        <i x="12" s="1" nd="1"/>
        <i x="14" s="1" nd="1"/>
        <i x="15" s="1" nd="1"/>
        <i x="16" s="1" nd="1"/>
        <i x="18" s="1" nd="1"/>
        <i x="19" s="1" nd="1"/>
        <i x="20" s="1" nd="1"/>
        <i x="22" s="1" nd="1"/>
        <i x="23" s="1" nd="1"/>
        <i x="24" s="1" nd="1"/>
        <i x="26" s="1" nd="1"/>
        <i x="27" s="1" nd="1"/>
        <i x="28" s="1" nd="1"/>
        <i x="30" s="1" nd="1"/>
        <i x="31" s="1" nd="1"/>
        <i x="32" s="1" nd="1"/>
        <i x="34" s="1" nd="1"/>
        <i x="35" s="1" nd="1"/>
        <i x="36" s="1" nd="1"/>
        <i x="38" s="1" nd="1"/>
        <i x="39" s="1" nd="1"/>
        <i x="40" s="1" nd="1"/>
        <i x="42" s="1" nd="1"/>
        <i x="43" s="1" nd="1"/>
        <i x="44" s="1" nd="1"/>
        <i x="46" s="1" nd="1"/>
        <i x="47" s="1" nd="1"/>
        <i x="4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120324-433F-4485-8830-6E04E755411B}" sourceName="Region">
  <pivotTables>
    <pivotTable tabId="4" name="PivotTable2"/>
  </pivotTables>
  <data>
    <tabular pivotCacheId="174769246">
      <items count="4">
        <i x="1" s="1"/>
        <i x="2" nd="1"/>
        <i x="0" nd="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E63CB42-3644-4163-B141-F5393DCFB9A9}" sourceName="Product">
  <pivotTables>
    <pivotTable tabId="4" name="PivotTable2"/>
    <pivotTable tabId="5" name="PivotTable3"/>
    <pivotTable tabId="3" name="PivotTable1"/>
  </pivotTables>
  <data>
    <tabular pivotCacheId="174769246">
      <items count="4">
        <i x="0"/>
        <i x="1" s="1"/>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AFFE687-C8B8-4634-B9A7-E2045CB98E15}" sourceName="Sales">
  <pivotTables>
    <pivotTable tabId="4" name="PivotTable2"/>
    <pivotTable tabId="5" name="PivotTable3"/>
    <pivotTable tabId="3" name="PivotTable1"/>
  </pivotTables>
  <data>
    <tabular pivotCacheId="174769246">
      <items count="50">
        <i x="1" s="1"/>
        <i x="5" s="1"/>
        <i x="9" s="1"/>
        <i x="13" s="1"/>
        <i x="17" s="1"/>
        <i x="21" s="1"/>
        <i x="25" s="1"/>
        <i x="29" s="1"/>
        <i x="33" s="1"/>
        <i x="37" s="1"/>
        <i x="41" s="1"/>
        <i x="45" s="1"/>
        <i x="49" s="1"/>
        <i x="0" s="1" nd="1"/>
        <i x="2" s="1" nd="1"/>
        <i x="3" s="1" nd="1"/>
        <i x="4" s="1" nd="1"/>
        <i x="6" s="1" nd="1"/>
        <i x="7" s="1" nd="1"/>
        <i x="8" s="1" nd="1"/>
        <i x="10" s="1" nd="1"/>
        <i x="11" s="1" nd="1"/>
        <i x="12" s="1" nd="1"/>
        <i x="14" s="1" nd="1"/>
        <i x="15" s="1" nd="1"/>
        <i x="16" s="1" nd="1"/>
        <i x="18" s="1" nd="1"/>
        <i x="19" s="1" nd="1"/>
        <i x="20" s="1" nd="1"/>
        <i x="22" s="1" nd="1"/>
        <i x="23" s="1" nd="1"/>
        <i x="24" s="1" nd="1"/>
        <i x="26" s="1" nd="1"/>
        <i x="27" s="1" nd="1"/>
        <i x="28" s="1" nd="1"/>
        <i x="30" s="1" nd="1"/>
        <i x="31" s="1" nd="1"/>
        <i x="32" s="1" nd="1"/>
        <i x="34" s="1" nd="1"/>
        <i x="35" s="1" nd="1"/>
        <i x="36" s="1" nd="1"/>
        <i x="38" s="1" nd="1"/>
        <i x="39" s="1" nd="1"/>
        <i x="40" s="1" nd="1"/>
        <i x="42" s="1" nd="1"/>
        <i x="43" s="1" nd="1"/>
        <i x="44" s="1" nd="1"/>
        <i x="46" s="1" nd="1"/>
        <i x="47" s="1" nd="1"/>
        <i x="4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17BA4C2-D2AA-4224-8B2A-EAC139C7B408}" sourceName="month">
  <pivotTables>
    <pivotTable tabId="4" name="PivotTable2"/>
    <pivotTable tabId="5" name="PivotTable3"/>
    <pivotTable tabId="3" name="PivotTable1"/>
  </pivotTables>
  <data>
    <tabular pivotCacheId="174769246">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575512BF-77ED-45B1-862A-45C97136C437}" sourceName="Profit">
  <pivotTables>
    <pivotTable tabId="5" name="PivotTable3"/>
    <pivotTable tabId="4" name="PivotTable2"/>
    <pivotTable tabId="3" name="PivotTable1"/>
  </pivotTables>
  <data>
    <tabular pivotCacheId="174769246">
      <items count="50">
        <i x="1" s="1"/>
        <i x="5" s="1"/>
        <i x="9" s="1"/>
        <i x="13" s="1"/>
        <i x="17" s="1"/>
        <i x="21" s="1"/>
        <i x="25" s="1"/>
        <i x="29" s="1"/>
        <i x="33" s="1"/>
        <i x="37" s="1"/>
        <i x="41" s="1"/>
        <i x="45" s="1"/>
        <i x="49" s="1"/>
        <i x="0" s="1" nd="1"/>
        <i x="2" s="1" nd="1"/>
        <i x="3" s="1" nd="1"/>
        <i x="4" s="1" nd="1"/>
        <i x="6" s="1" nd="1"/>
        <i x="7" s="1" nd="1"/>
        <i x="8" s="1" nd="1"/>
        <i x="10" s="1" nd="1"/>
        <i x="11" s="1" nd="1"/>
        <i x="12" s="1" nd="1"/>
        <i x="14" s="1" nd="1"/>
        <i x="15" s="1" nd="1"/>
        <i x="16" s="1" nd="1"/>
        <i x="18" s="1" nd="1"/>
        <i x="19" s="1" nd="1"/>
        <i x="20" s="1" nd="1"/>
        <i x="22" s="1" nd="1"/>
        <i x="23" s="1" nd="1"/>
        <i x="24" s="1" nd="1"/>
        <i x="26" s="1" nd="1"/>
        <i x="27" s="1" nd="1"/>
        <i x="28" s="1" nd="1"/>
        <i x="30" s="1" nd="1"/>
        <i x="31" s="1" nd="1"/>
        <i x="32" s="1" nd="1"/>
        <i x="34" s="1" nd="1"/>
        <i x="35" s="1" nd="1"/>
        <i x="36" s="1" nd="1"/>
        <i x="38" s="1" nd="1"/>
        <i x="39" s="1" nd="1"/>
        <i x="40" s="1" nd="1"/>
        <i x="42" s="1" nd="1"/>
        <i x="43" s="1" nd="1"/>
        <i x="44" s="1" nd="1"/>
        <i x="46" s="1" nd="1"/>
        <i x="47" s="1" nd="1"/>
        <i x="4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1" xr10:uid="{41358D4A-BD30-42CE-BECA-2421C65CB5B3}" cache="Slicer_Order_Date" caption="Order Date" startItem="29" rowHeight="234950"/>
  <slicer name="Region" xr10:uid="{B16FE192-434D-4656-AC3B-1AAEDB6DCB04}" cache="Slicer_Region" caption="Region" rowHeight="234950"/>
  <slicer name="Product" xr10:uid="{B0CFEE9A-E368-40EB-B70D-385A425FBEAA}" cache="Slicer_Product" caption="Product" rowHeight="234950"/>
  <slicer name="Sales" xr10:uid="{47E8FFE8-392F-4A1F-B38F-F578824FD6F9}" cache="Slicer_Sales" caption="Sales" rowHeight="234950"/>
  <slicer name="month" xr10:uid="{962ABAEB-053D-43BB-B0CF-07CB04C0491D}" cache="Slicer_month" caption="month" rowHeight="234950"/>
  <slicer name="Profit" xr10:uid="{7990B39F-253E-4E86-AEB6-8A6389A94B2C}" cache="Slicer_Profit" caption="Profit" startItem="33"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FDACC4D-CD1E-4E9D-86D8-EF734D221C45}" sourceName="Order Date">
  <pivotTables>
    <pivotTable tabId="3" name="PivotTable1"/>
    <pivotTable tabId="5" name="PivotTable3"/>
    <pivotTable tabId="4" name="PivotTable2"/>
  </pivotTables>
  <state minimalRefreshVersion="6" lastRefreshVersion="6" pivotCacheId="174769246"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76E63F7-E265-4D2D-967A-9E335DB405EC}" cache="NativeTimeline_Order_Date" caption="Order Date" level="2" selectionLevel="2" scrollPosition="2024-01-01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1"/>
  <sheetViews>
    <sheetView topLeftCell="B1" workbookViewId="0">
      <selection activeCell="L2" sqref="L2"/>
    </sheetView>
  </sheetViews>
  <sheetFormatPr defaultRowHeight="14.4" x14ac:dyDescent="0.3"/>
  <cols>
    <col min="1" max="1" width="18.109375" bestFit="1" customWidth="1"/>
    <col min="3" max="3" width="13.44140625" customWidth="1"/>
    <col min="4" max="4" width="9" bestFit="1" customWidth="1"/>
  </cols>
  <sheetData>
    <row r="1" spans="1:12" x14ac:dyDescent="0.3">
      <c r="A1" s="2" t="s">
        <v>0</v>
      </c>
      <c r="B1" s="1" t="s">
        <v>1</v>
      </c>
      <c r="C1" s="1" t="s">
        <v>2</v>
      </c>
      <c r="D1" s="1" t="s">
        <v>3</v>
      </c>
      <c r="E1" s="1" t="s">
        <v>4</v>
      </c>
      <c r="F1" s="1" t="s">
        <v>5</v>
      </c>
      <c r="G1" s="1" t="s">
        <v>6</v>
      </c>
      <c r="H1" s="4" t="s">
        <v>19</v>
      </c>
    </row>
    <row r="2" spans="1:12" x14ac:dyDescent="0.3">
      <c r="A2" s="3">
        <v>45292</v>
      </c>
      <c r="B2" t="s">
        <v>7</v>
      </c>
      <c r="C2" t="s">
        <v>11</v>
      </c>
      <c r="D2" t="s">
        <v>15</v>
      </c>
      <c r="E2">
        <v>100</v>
      </c>
      <c r="F2">
        <v>1</v>
      </c>
      <c r="G2">
        <v>20</v>
      </c>
      <c r="H2" t="str">
        <f>TEXT(A2,"MMM-YYYY")</f>
        <v>Jan-2024</v>
      </c>
      <c r="J2">
        <f>SUM(E2:E3:E51)</f>
        <v>127500</v>
      </c>
      <c r="L2">
        <f>SUM(G2:G51)</f>
        <v>25500</v>
      </c>
    </row>
    <row r="3" spans="1:12" x14ac:dyDescent="0.3">
      <c r="A3" s="3">
        <v>45293</v>
      </c>
      <c r="B3" t="s">
        <v>8</v>
      </c>
      <c r="C3" t="s">
        <v>12</v>
      </c>
      <c r="D3" t="s">
        <v>16</v>
      </c>
      <c r="E3">
        <v>200</v>
      </c>
      <c r="F3">
        <v>2</v>
      </c>
      <c r="G3">
        <v>40</v>
      </c>
      <c r="H3" t="str">
        <f t="shared" ref="H3:H51" si="0">TEXT(A3,"MMM-YYYY")</f>
        <v>Jan-2024</v>
      </c>
    </row>
    <row r="4" spans="1:12" x14ac:dyDescent="0.3">
      <c r="A4" s="3">
        <v>45294</v>
      </c>
      <c r="B4" t="s">
        <v>9</v>
      </c>
      <c r="C4" t="s">
        <v>13</v>
      </c>
      <c r="D4" t="s">
        <v>17</v>
      </c>
      <c r="E4">
        <v>300</v>
      </c>
      <c r="F4">
        <v>3</v>
      </c>
      <c r="G4">
        <v>60</v>
      </c>
      <c r="H4" t="str">
        <f t="shared" si="0"/>
        <v>Jan-2024</v>
      </c>
    </row>
    <row r="5" spans="1:12" x14ac:dyDescent="0.3">
      <c r="A5" s="3">
        <v>45295</v>
      </c>
      <c r="B5" t="s">
        <v>10</v>
      </c>
      <c r="C5" t="s">
        <v>14</v>
      </c>
      <c r="D5" t="s">
        <v>18</v>
      </c>
      <c r="E5">
        <v>400</v>
      </c>
      <c r="F5">
        <v>4</v>
      </c>
      <c r="G5">
        <v>80</v>
      </c>
      <c r="H5" t="str">
        <f t="shared" si="0"/>
        <v>Jan-2024</v>
      </c>
    </row>
    <row r="6" spans="1:12" x14ac:dyDescent="0.3">
      <c r="A6" s="3">
        <v>45296</v>
      </c>
      <c r="B6" t="s">
        <v>7</v>
      </c>
      <c r="C6" t="s">
        <v>11</v>
      </c>
      <c r="D6" t="s">
        <v>15</v>
      </c>
      <c r="E6">
        <v>500</v>
      </c>
      <c r="F6">
        <v>5</v>
      </c>
      <c r="G6">
        <v>100</v>
      </c>
      <c r="H6" t="str">
        <f t="shared" si="0"/>
        <v>Jan-2024</v>
      </c>
    </row>
    <row r="7" spans="1:12" x14ac:dyDescent="0.3">
      <c r="A7" s="3">
        <v>45297</v>
      </c>
      <c r="B7" t="s">
        <v>8</v>
      </c>
      <c r="C7" t="s">
        <v>12</v>
      </c>
      <c r="D7" t="s">
        <v>16</v>
      </c>
      <c r="E7">
        <v>600</v>
      </c>
      <c r="F7">
        <v>1</v>
      </c>
      <c r="G7">
        <v>120</v>
      </c>
      <c r="H7" t="str">
        <f t="shared" si="0"/>
        <v>Jan-2024</v>
      </c>
    </row>
    <row r="8" spans="1:12" x14ac:dyDescent="0.3">
      <c r="A8" s="3">
        <v>45298</v>
      </c>
      <c r="B8" t="s">
        <v>9</v>
      </c>
      <c r="C8" t="s">
        <v>13</v>
      </c>
      <c r="D8" t="s">
        <v>17</v>
      </c>
      <c r="E8">
        <v>700</v>
      </c>
      <c r="F8">
        <v>2</v>
      </c>
      <c r="G8">
        <v>140</v>
      </c>
      <c r="H8" t="str">
        <f t="shared" si="0"/>
        <v>Jan-2024</v>
      </c>
    </row>
    <row r="9" spans="1:12" x14ac:dyDescent="0.3">
      <c r="A9" s="3">
        <v>45299</v>
      </c>
      <c r="B9" t="s">
        <v>10</v>
      </c>
      <c r="C9" t="s">
        <v>14</v>
      </c>
      <c r="D9" t="s">
        <v>18</v>
      </c>
      <c r="E9">
        <v>800</v>
      </c>
      <c r="F9">
        <v>3</v>
      </c>
      <c r="G9">
        <v>160</v>
      </c>
      <c r="H9" t="str">
        <f t="shared" si="0"/>
        <v>Jan-2024</v>
      </c>
    </row>
    <row r="10" spans="1:12" x14ac:dyDescent="0.3">
      <c r="A10" s="3">
        <v>45300</v>
      </c>
      <c r="B10" t="s">
        <v>7</v>
      </c>
      <c r="C10" t="s">
        <v>11</v>
      </c>
      <c r="D10" t="s">
        <v>15</v>
      </c>
      <c r="E10">
        <v>900</v>
      </c>
      <c r="F10">
        <v>4</v>
      </c>
      <c r="G10">
        <v>180</v>
      </c>
      <c r="H10" t="str">
        <f t="shared" si="0"/>
        <v>Jan-2024</v>
      </c>
    </row>
    <row r="11" spans="1:12" x14ac:dyDescent="0.3">
      <c r="A11" s="3">
        <v>45301</v>
      </c>
      <c r="B11" t="s">
        <v>8</v>
      </c>
      <c r="C11" t="s">
        <v>12</v>
      </c>
      <c r="D11" t="s">
        <v>16</v>
      </c>
      <c r="E11">
        <v>1000</v>
      </c>
      <c r="F11">
        <v>5</v>
      </c>
      <c r="G11">
        <v>200</v>
      </c>
      <c r="H11" t="str">
        <f t="shared" si="0"/>
        <v>Jan-2024</v>
      </c>
    </row>
    <row r="12" spans="1:12" x14ac:dyDescent="0.3">
      <c r="A12" s="3">
        <v>45302</v>
      </c>
      <c r="B12" t="s">
        <v>9</v>
      </c>
      <c r="C12" t="s">
        <v>13</v>
      </c>
      <c r="D12" t="s">
        <v>17</v>
      </c>
      <c r="E12">
        <v>1100</v>
      </c>
      <c r="F12">
        <v>1</v>
      </c>
      <c r="G12">
        <v>220</v>
      </c>
      <c r="H12" t="str">
        <f t="shared" si="0"/>
        <v>Jan-2024</v>
      </c>
    </row>
    <row r="13" spans="1:12" x14ac:dyDescent="0.3">
      <c r="A13" s="3">
        <v>45303</v>
      </c>
      <c r="B13" t="s">
        <v>10</v>
      </c>
      <c r="C13" t="s">
        <v>14</v>
      </c>
      <c r="D13" t="s">
        <v>18</v>
      </c>
      <c r="E13">
        <v>1200</v>
      </c>
      <c r="F13">
        <v>2</v>
      </c>
      <c r="G13">
        <v>240</v>
      </c>
      <c r="H13" t="str">
        <f t="shared" si="0"/>
        <v>Jan-2024</v>
      </c>
    </row>
    <row r="14" spans="1:12" x14ac:dyDescent="0.3">
      <c r="A14" s="3">
        <v>45304</v>
      </c>
      <c r="B14" t="s">
        <v>7</v>
      </c>
      <c r="C14" t="s">
        <v>11</v>
      </c>
      <c r="D14" t="s">
        <v>15</v>
      </c>
      <c r="E14">
        <v>1300</v>
      </c>
      <c r="F14">
        <v>3</v>
      </c>
      <c r="G14">
        <v>260</v>
      </c>
      <c r="H14" t="str">
        <f t="shared" si="0"/>
        <v>Jan-2024</v>
      </c>
    </row>
    <row r="15" spans="1:12" x14ac:dyDescent="0.3">
      <c r="A15" s="3">
        <v>45305</v>
      </c>
      <c r="B15" t="s">
        <v>8</v>
      </c>
      <c r="C15" t="s">
        <v>12</v>
      </c>
      <c r="D15" t="s">
        <v>16</v>
      </c>
      <c r="E15">
        <v>1400</v>
      </c>
      <c r="F15">
        <v>4</v>
      </c>
      <c r="G15">
        <v>280</v>
      </c>
      <c r="H15" t="str">
        <f t="shared" si="0"/>
        <v>Jan-2024</v>
      </c>
    </row>
    <row r="16" spans="1:12" x14ac:dyDescent="0.3">
      <c r="A16" s="3">
        <v>45306</v>
      </c>
      <c r="B16" t="s">
        <v>9</v>
      </c>
      <c r="C16" t="s">
        <v>13</v>
      </c>
      <c r="D16" t="s">
        <v>17</v>
      </c>
      <c r="E16">
        <v>1500</v>
      </c>
      <c r="F16">
        <v>5</v>
      </c>
      <c r="G16">
        <v>300</v>
      </c>
      <c r="H16" t="str">
        <f t="shared" si="0"/>
        <v>Jan-2024</v>
      </c>
    </row>
    <row r="17" spans="1:8" x14ac:dyDescent="0.3">
      <c r="A17" s="3">
        <v>45307</v>
      </c>
      <c r="B17" t="s">
        <v>10</v>
      </c>
      <c r="C17" t="s">
        <v>14</v>
      </c>
      <c r="D17" t="s">
        <v>18</v>
      </c>
      <c r="E17">
        <v>1600</v>
      </c>
      <c r="F17">
        <v>1</v>
      </c>
      <c r="G17">
        <v>320</v>
      </c>
      <c r="H17" t="str">
        <f t="shared" si="0"/>
        <v>Jan-2024</v>
      </c>
    </row>
    <row r="18" spans="1:8" x14ac:dyDescent="0.3">
      <c r="A18" s="3">
        <v>45308</v>
      </c>
      <c r="B18" t="s">
        <v>7</v>
      </c>
      <c r="C18" t="s">
        <v>11</v>
      </c>
      <c r="D18" t="s">
        <v>15</v>
      </c>
      <c r="E18">
        <v>1700</v>
      </c>
      <c r="F18">
        <v>2</v>
      </c>
      <c r="G18">
        <v>340</v>
      </c>
      <c r="H18" t="str">
        <f t="shared" si="0"/>
        <v>Jan-2024</v>
      </c>
    </row>
    <row r="19" spans="1:8" x14ac:dyDescent="0.3">
      <c r="A19" s="3">
        <v>45309</v>
      </c>
      <c r="B19" t="s">
        <v>8</v>
      </c>
      <c r="C19" t="s">
        <v>12</v>
      </c>
      <c r="D19" t="s">
        <v>16</v>
      </c>
      <c r="E19">
        <v>1800</v>
      </c>
      <c r="F19">
        <v>3</v>
      </c>
      <c r="G19">
        <v>360</v>
      </c>
      <c r="H19" t="str">
        <f t="shared" si="0"/>
        <v>Jan-2024</v>
      </c>
    </row>
    <row r="20" spans="1:8" x14ac:dyDescent="0.3">
      <c r="A20" s="3">
        <v>45310</v>
      </c>
      <c r="B20" t="s">
        <v>9</v>
      </c>
      <c r="C20" t="s">
        <v>13</v>
      </c>
      <c r="D20" t="s">
        <v>17</v>
      </c>
      <c r="E20">
        <v>1900</v>
      </c>
      <c r="F20">
        <v>4</v>
      </c>
      <c r="G20">
        <v>380</v>
      </c>
      <c r="H20" t="str">
        <f t="shared" si="0"/>
        <v>Jan-2024</v>
      </c>
    </row>
    <row r="21" spans="1:8" x14ac:dyDescent="0.3">
      <c r="A21" s="3">
        <v>45311</v>
      </c>
      <c r="B21" t="s">
        <v>10</v>
      </c>
      <c r="C21" t="s">
        <v>14</v>
      </c>
      <c r="D21" t="s">
        <v>18</v>
      </c>
      <c r="E21">
        <v>2000</v>
      </c>
      <c r="F21">
        <v>5</v>
      </c>
      <c r="G21">
        <v>400</v>
      </c>
      <c r="H21" t="str">
        <f t="shared" si="0"/>
        <v>Jan-2024</v>
      </c>
    </row>
    <row r="22" spans="1:8" x14ac:dyDescent="0.3">
      <c r="A22" s="3">
        <v>45312</v>
      </c>
      <c r="B22" t="s">
        <v>7</v>
      </c>
      <c r="C22" t="s">
        <v>11</v>
      </c>
      <c r="D22" t="s">
        <v>15</v>
      </c>
      <c r="E22">
        <v>2100</v>
      </c>
      <c r="F22">
        <v>1</v>
      </c>
      <c r="G22">
        <v>420</v>
      </c>
      <c r="H22" t="str">
        <f t="shared" si="0"/>
        <v>Jan-2024</v>
      </c>
    </row>
    <row r="23" spans="1:8" x14ac:dyDescent="0.3">
      <c r="A23" s="3">
        <v>45313</v>
      </c>
      <c r="B23" t="s">
        <v>8</v>
      </c>
      <c r="C23" t="s">
        <v>12</v>
      </c>
      <c r="D23" t="s">
        <v>16</v>
      </c>
      <c r="E23">
        <v>2200</v>
      </c>
      <c r="F23">
        <v>2</v>
      </c>
      <c r="G23">
        <v>440</v>
      </c>
      <c r="H23" t="str">
        <f t="shared" si="0"/>
        <v>Jan-2024</v>
      </c>
    </row>
    <row r="24" spans="1:8" x14ac:dyDescent="0.3">
      <c r="A24" s="3">
        <v>45314</v>
      </c>
      <c r="B24" t="s">
        <v>9</v>
      </c>
      <c r="C24" t="s">
        <v>13</v>
      </c>
      <c r="D24" t="s">
        <v>17</v>
      </c>
      <c r="E24">
        <v>2300</v>
      </c>
      <c r="F24">
        <v>3</v>
      </c>
      <c r="G24">
        <v>460</v>
      </c>
      <c r="H24" t="str">
        <f t="shared" si="0"/>
        <v>Jan-2024</v>
      </c>
    </row>
    <row r="25" spans="1:8" x14ac:dyDescent="0.3">
      <c r="A25" s="3">
        <v>45315</v>
      </c>
      <c r="B25" t="s">
        <v>10</v>
      </c>
      <c r="C25" t="s">
        <v>14</v>
      </c>
      <c r="D25" t="s">
        <v>18</v>
      </c>
      <c r="E25">
        <v>2400</v>
      </c>
      <c r="F25">
        <v>4</v>
      </c>
      <c r="G25">
        <v>480</v>
      </c>
      <c r="H25" t="str">
        <f t="shared" si="0"/>
        <v>Jan-2024</v>
      </c>
    </row>
    <row r="26" spans="1:8" x14ac:dyDescent="0.3">
      <c r="A26" s="3">
        <v>45316</v>
      </c>
      <c r="B26" t="s">
        <v>7</v>
      </c>
      <c r="C26" t="s">
        <v>11</v>
      </c>
      <c r="D26" t="s">
        <v>15</v>
      </c>
      <c r="E26">
        <v>2500</v>
      </c>
      <c r="F26">
        <v>5</v>
      </c>
      <c r="G26">
        <v>500</v>
      </c>
      <c r="H26" t="str">
        <f t="shared" si="0"/>
        <v>Jan-2024</v>
      </c>
    </row>
    <row r="27" spans="1:8" x14ac:dyDescent="0.3">
      <c r="A27" s="3">
        <v>45317</v>
      </c>
      <c r="B27" t="s">
        <v>8</v>
      </c>
      <c r="C27" t="s">
        <v>12</v>
      </c>
      <c r="D27" t="s">
        <v>16</v>
      </c>
      <c r="E27">
        <v>2600</v>
      </c>
      <c r="F27">
        <v>1</v>
      </c>
      <c r="G27">
        <v>520</v>
      </c>
      <c r="H27" t="str">
        <f t="shared" si="0"/>
        <v>Jan-2024</v>
      </c>
    </row>
    <row r="28" spans="1:8" x14ac:dyDescent="0.3">
      <c r="A28" s="3">
        <v>45318</v>
      </c>
      <c r="B28" t="s">
        <v>9</v>
      </c>
      <c r="C28" t="s">
        <v>13</v>
      </c>
      <c r="D28" t="s">
        <v>17</v>
      </c>
      <c r="E28">
        <v>2700</v>
      </c>
      <c r="F28">
        <v>2</v>
      </c>
      <c r="G28">
        <v>540</v>
      </c>
      <c r="H28" t="str">
        <f t="shared" si="0"/>
        <v>Jan-2024</v>
      </c>
    </row>
    <row r="29" spans="1:8" x14ac:dyDescent="0.3">
      <c r="A29" s="3">
        <v>45319</v>
      </c>
      <c r="B29" t="s">
        <v>10</v>
      </c>
      <c r="C29" t="s">
        <v>14</v>
      </c>
      <c r="D29" t="s">
        <v>18</v>
      </c>
      <c r="E29">
        <v>2800</v>
      </c>
      <c r="F29">
        <v>3</v>
      </c>
      <c r="G29">
        <v>560</v>
      </c>
      <c r="H29" t="str">
        <f t="shared" si="0"/>
        <v>Jan-2024</v>
      </c>
    </row>
    <row r="30" spans="1:8" x14ac:dyDescent="0.3">
      <c r="A30" s="3">
        <v>45320</v>
      </c>
      <c r="B30" t="s">
        <v>7</v>
      </c>
      <c r="C30" t="s">
        <v>11</v>
      </c>
      <c r="D30" t="s">
        <v>15</v>
      </c>
      <c r="E30">
        <v>2900</v>
      </c>
      <c r="F30">
        <v>4</v>
      </c>
      <c r="G30">
        <v>580</v>
      </c>
      <c r="H30" t="str">
        <f t="shared" si="0"/>
        <v>Jan-2024</v>
      </c>
    </row>
    <row r="31" spans="1:8" x14ac:dyDescent="0.3">
      <c r="A31" s="3">
        <v>45321</v>
      </c>
      <c r="B31" t="s">
        <v>8</v>
      </c>
      <c r="C31" t="s">
        <v>12</v>
      </c>
      <c r="D31" t="s">
        <v>16</v>
      </c>
      <c r="E31">
        <v>3000</v>
      </c>
      <c r="F31">
        <v>5</v>
      </c>
      <c r="G31">
        <v>600</v>
      </c>
      <c r="H31" t="str">
        <f t="shared" si="0"/>
        <v>Jan-2024</v>
      </c>
    </row>
    <row r="32" spans="1:8" x14ac:dyDescent="0.3">
      <c r="A32" s="3">
        <v>45322</v>
      </c>
      <c r="B32" t="s">
        <v>9</v>
      </c>
      <c r="C32" t="s">
        <v>13</v>
      </c>
      <c r="D32" t="s">
        <v>17</v>
      </c>
      <c r="E32">
        <v>3100</v>
      </c>
      <c r="F32">
        <v>1</v>
      </c>
      <c r="G32">
        <v>620</v>
      </c>
      <c r="H32" t="str">
        <f t="shared" si="0"/>
        <v>Jan-2024</v>
      </c>
    </row>
    <row r="33" spans="1:8" x14ac:dyDescent="0.3">
      <c r="A33" s="3">
        <v>45323</v>
      </c>
      <c r="B33" t="s">
        <v>10</v>
      </c>
      <c r="C33" t="s">
        <v>14</v>
      </c>
      <c r="D33" t="s">
        <v>18</v>
      </c>
      <c r="E33">
        <v>3200</v>
      </c>
      <c r="F33">
        <v>2</v>
      </c>
      <c r="G33">
        <v>640</v>
      </c>
      <c r="H33" t="str">
        <f t="shared" si="0"/>
        <v>Feb-2024</v>
      </c>
    </row>
    <row r="34" spans="1:8" x14ac:dyDescent="0.3">
      <c r="A34" s="3">
        <v>45324</v>
      </c>
      <c r="B34" t="s">
        <v>7</v>
      </c>
      <c r="C34" t="s">
        <v>11</v>
      </c>
      <c r="D34" t="s">
        <v>15</v>
      </c>
      <c r="E34">
        <v>3300</v>
      </c>
      <c r="F34">
        <v>3</v>
      </c>
      <c r="G34">
        <v>660</v>
      </c>
      <c r="H34" t="str">
        <f t="shared" si="0"/>
        <v>Feb-2024</v>
      </c>
    </row>
    <row r="35" spans="1:8" x14ac:dyDescent="0.3">
      <c r="A35" s="3">
        <v>45325</v>
      </c>
      <c r="B35" t="s">
        <v>8</v>
      </c>
      <c r="C35" t="s">
        <v>12</v>
      </c>
      <c r="D35" t="s">
        <v>16</v>
      </c>
      <c r="E35">
        <v>3400</v>
      </c>
      <c r="F35">
        <v>4</v>
      </c>
      <c r="G35">
        <v>680</v>
      </c>
      <c r="H35" t="str">
        <f t="shared" si="0"/>
        <v>Feb-2024</v>
      </c>
    </row>
    <row r="36" spans="1:8" x14ac:dyDescent="0.3">
      <c r="A36" s="3">
        <v>45326</v>
      </c>
      <c r="B36" t="s">
        <v>9</v>
      </c>
      <c r="C36" t="s">
        <v>13</v>
      </c>
      <c r="D36" t="s">
        <v>17</v>
      </c>
      <c r="E36">
        <v>3500</v>
      </c>
      <c r="F36">
        <v>5</v>
      </c>
      <c r="G36">
        <v>700</v>
      </c>
      <c r="H36" t="str">
        <f t="shared" si="0"/>
        <v>Feb-2024</v>
      </c>
    </row>
    <row r="37" spans="1:8" x14ac:dyDescent="0.3">
      <c r="A37" s="3">
        <v>45327</v>
      </c>
      <c r="B37" t="s">
        <v>10</v>
      </c>
      <c r="C37" t="s">
        <v>14</v>
      </c>
      <c r="D37" t="s">
        <v>18</v>
      </c>
      <c r="E37">
        <v>3600</v>
      </c>
      <c r="F37">
        <v>1</v>
      </c>
      <c r="G37">
        <v>720</v>
      </c>
      <c r="H37" t="str">
        <f t="shared" si="0"/>
        <v>Feb-2024</v>
      </c>
    </row>
    <row r="38" spans="1:8" x14ac:dyDescent="0.3">
      <c r="A38" s="3">
        <v>45328</v>
      </c>
      <c r="B38" t="s">
        <v>7</v>
      </c>
      <c r="C38" t="s">
        <v>11</v>
      </c>
      <c r="D38" t="s">
        <v>15</v>
      </c>
      <c r="E38">
        <v>3700</v>
      </c>
      <c r="F38">
        <v>2</v>
      </c>
      <c r="G38">
        <v>740</v>
      </c>
      <c r="H38" t="str">
        <f t="shared" si="0"/>
        <v>Feb-2024</v>
      </c>
    </row>
    <row r="39" spans="1:8" x14ac:dyDescent="0.3">
      <c r="A39" s="3">
        <v>45329</v>
      </c>
      <c r="B39" t="s">
        <v>8</v>
      </c>
      <c r="C39" t="s">
        <v>12</v>
      </c>
      <c r="D39" t="s">
        <v>16</v>
      </c>
      <c r="E39">
        <v>3800</v>
      </c>
      <c r="F39">
        <v>3</v>
      </c>
      <c r="G39">
        <v>760</v>
      </c>
      <c r="H39" t="str">
        <f t="shared" si="0"/>
        <v>Feb-2024</v>
      </c>
    </row>
    <row r="40" spans="1:8" x14ac:dyDescent="0.3">
      <c r="A40" s="3">
        <v>45330</v>
      </c>
      <c r="B40" t="s">
        <v>9</v>
      </c>
      <c r="C40" t="s">
        <v>13</v>
      </c>
      <c r="D40" t="s">
        <v>17</v>
      </c>
      <c r="E40">
        <v>3900</v>
      </c>
      <c r="F40">
        <v>4</v>
      </c>
      <c r="G40">
        <v>780</v>
      </c>
      <c r="H40" t="str">
        <f t="shared" si="0"/>
        <v>Feb-2024</v>
      </c>
    </row>
    <row r="41" spans="1:8" x14ac:dyDescent="0.3">
      <c r="A41" s="3">
        <v>45331</v>
      </c>
      <c r="B41" t="s">
        <v>10</v>
      </c>
      <c r="C41" t="s">
        <v>14</v>
      </c>
      <c r="D41" t="s">
        <v>18</v>
      </c>
      <c r="E41">
        <v>4000</v>
      </c>
      <c r="F41">
        <v>5</v>
      </c>
      <c r="G41">
        <v>800</v>
      </c>
      <c r="H41" t="str">
        <f t="shared" si="0"/>
        <v>Feb-2024</v>
      </c>
    </row>
    <row r="42" spans="1:8" x14ac:dyDescent="0.3">
      <c r="A42" s="3">
        <v>45332</v>
      </c>
      <c r="B42" t="s">
        <v>7</v>
      </c>
      <c r="C42" t="s">
        <v>11</v>
      </c>
      <c r="D42" t="s">
        <v>15</v>
      </c>
      <c r="E42">
        <v>4100</v>
      </c>
      <c r="F42">
        <v>1</v>
      </c>
      <c r="G42">
        <v>820</v>
      </c>
      <c r="H42" t="str">
        <f t="shared" si="0"/>
        <v>Feb-2024</v>
      </c>
    </row>
    <row r="43" spans="1:8" x14ac:dyDescent="0.3">
      <c r="A43" s="3">
        <v>45333</v>
      </c>
      <c r="B43" t="s">
        <v>8</v>
      </c>
      <c r="C43" t="s">
        <v>12</v>
      </c>
      <c r="D43" t="s">
        <v>16</v>
      </c>
      <c r="E43">
        <v>4200</v>
      </c>
      <c r="F43">
        <v>2</v>
      </c>
      <c r="G43">
        <v>840</v>
      </c>
      <c r="H43" t="str">
        <f t="shared" si="0"/>
        <v>Feb-2024</v>
      </c>
    </row>
    <row r="44" spans="1:8" x14ac:dyDescent="0.3">
      <c r="A44" s="3">
        <v>45334</v>
      </c>
      <c r="B44" t="s">
        <v>9</v>
      </c>
      <c r="C44" t="s">
        <v>13</v>
      </c>
      <c r="D44" t="s">
        <v>17</v>
      </c>
      <c r="E44">
        <v>4300</v>
      </c>
      <c r="F44">
        <v>3</v>
      </c>
      <c r="G44">
        <v>860</v>
      </c>
      <c r="H44" t="str">
        <f t="shared" si="0"/>
        <v>Feb-2024</v>
      </c>
    </row>
    <row r="45" spans="1:8" x14ac:dyDescent="0.3">
      <c r="A45" s="3">
        <v>45335</v>
      </c>
      <c r="B45" t="s">
        <v>10</v>
      </c>
      <c r="C45" t="s">
        <v>14</v>
      </c>
      <c r="D45" t="s">
        <v>18</v>
      </c>
      <c r="E45">
        <v>4400</v>
      </c>
      <c r="F45">
        <v>4</v>
      </c>
      <c r="G45">
        <v>880</v>
      </c>
      <c r="H45" t="str">
        <f t="shared" si="0"/>
        <v>Feb-2024</v>
      </c>
    </row>
    <row r="46" spans="1:8" x14ac:dyDescent="0.3">
      <c r="A46" s="3">
        <v>45336</v>
      </c>
      <c r="B46" t="s">
        <v>7</v>
      </c>
      <c r="C46" t="s">
        <v>11</v>
      </c>
      <c r="D46" t="s">
        <v>15</v>
      </c>
      <c r="E46">
        <v>4500</v>
      </c>
      <c r="F46">
        <v>5</v>
      </c>
      <c r="G46">
        <v>900</v>
      </c>
      <c r="H46" t="str">
        <f t="shared" si="0"/>
        <v>Feb-2024</v>
      </c>
    </row>
    <row r="47" spans="1:8" x14ac:dyDescent="0.3">
      <c r="A47" s="3">
        <v>45337</v>
      </c>
      <c r="B47" t="s">
        <v>8</v>
      </c>
      <c r="C47" t="s">
        <v>12</v>
      </c>
      <c r="D47" t="s">
        <v>16</v>
      </c>
      <c r="E47">
        <v>4600</v>
      </c>
      <c r="F47">
        <v>1</v>
      </c>
      <c r="G47">
        <v>920</v>
      </c>
      <c r="H47" t="str">
        <f t="shared" si="0"/>
        <v>Feb-2024</v>
      </c>
    </row>
    <row r="48" spans="1:8" x14ac:dyDescent="0.3">
      <c r="A48" s="3">
        <v>45338</v>
      </c>
      <c r="B48" t="s">
        <v>9</v>
      </c>
      <c r="C48" t="s">
        <v>13</v>
      </c>
      <c r="D48" t="s">
        <v>17</v>
      </c>
      <c r="E48">
        <v>4700</v>
      </c>
      <c r="F48">
        <v>2</v>
      </c>
      <c r="G48">
        <v>940</v>
      </c>
      <c r="H48" t="str">
        <f t="shared" si="0"/>
        <v>Feb-2024</v>
      </c>
    </row>
    <row r="49" spans="1:8" x14ac:dyDescent="0.3">
      <c r="A49" s="3">
        <v>45339</v>
      </c>
      <c r="B49" t="s">
        <v>10</v>
      </c>
      <c r="C49" t="s">
        <v>14</v>
      </c>
      <c r="D49" t="s">
        <v>18</v>
      </c>
      <c r="E49">
        <v>4800</v>
      </c>
      <c r="F49">
        <v>3</v>
      </c>
      <c r="G49">
        <v>960</v>
      </c>
      <c r="H49" t="str">
        <f t="shared" si="0"/>
        <v>Feb-2024</v>
      </c>
    </row>
    <row r="50" spans="1:8" x14ac:dyDescent="0.3">
      <c r="A50" s="3">
        <v>45340</v>
      </c>
      <c r="B50" t="s">
        <v>7</v>
      </c>
      <c r="C50" t="s">
        <v>11</v>
      </c>
      <c r="D50" t="s">
        <v>15</v>
      </c>
      <c r="E50">
        <v>4900</v>
      </c>
      <c r="F50">
        <v>4</v>
      </c>
      <c r="G50">
        <v>980</v>
      </c>
      <c r="H50" t="str">
        <f t="shared" si="0"/>
        <v>Feb-2024</v>
      </c>
    </row>
    <row r="51" spans="1:8" x14ac:dyDescent="0.3">
      <c r="A51" s="3">
        <v>45341</v>
      </c>
      <c r="B51" t="s">
        <v>8</v>
      </c>
      <c r="C51" t="s">
        <v>12</v>
      </c>
      <c r="D51" t="s">
        <v>16</v>
      </c>
      <c r="E51">
        <v>5000</v>
      </c>
      <c r="F51">
        <v>5</v>
      </c>
      <c r="G51">
        <v>1000</v>
      </c>
      <c r="H51" t="str">
        <f t="shared" si="0"/>
        <v>Feb-2024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0BC2-9481-48BC-BD25-4170A3804764}">
  <dimension ref="D9:E12"/>
  <sheetViews>
    <sheetView workbookViewId="0">
      <selection activeCell="P14" sqref="P14"/>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s>
  <sheetData>
    <row r="9" spans="4:5" x14ac:dyDescent="0.3">
      <c r="D9" s="5" t="s">
        <v>20</v>
      </c>
      <c r="E9" t="s">
        <v>22</v>
      </c>
    </row>
    <row r="10" spans="4:5" x14ac:dyDescent="0.3">
      <c r="D10" s="6" t="s">
        <v>24</v>
      </c>
      <c r="E10" s="8">
        <v>21000</v>
      </c>
    </row>
    <row r="11" spans="4:5" x14ac:dyDescent="0.3">
      <c r="D11" s="6" t="s">
        <v>25</v>
      </c>
      <c r="E11" s="8">
        <v>12800</v>
      </c>
    </row>
    <row r="12" spans="4:5" x14ac:dyDescent="0.3">
      <c r="D12" s="6" t="s">
        <v>21</v>
      </c>
      <c r="E12" s="8">
        <v>33800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263E-A100-41F3-8177-B05B2C43B54F}">
  <dimension ref="D10:E12"/>
  <sheetViews>
    <sheetView workbookViewId="0">
      <selection activeCell="G12" sqref="G12"/>
    </sheetView>
  </sheetViews>
  <sheetFormatPr defaultRowHeight="14.4" x14ac:dyDescent="0.3"/>
  <cols>
    <col min="1" max="1" width="12.5546875" bestFit="1" customWidth="1"/>
    <col min="2" max="2" width="12.109375" bestFit="1" customWidth="1"/>
    <col min="4" max="4" width="12.5546875" bestFit="1" customWidth="1"/>
    <col min="5" max="5" width="12.109375" bestFit="1" customWidth="1"/>
  </cols>
  <sheetData>
    <row r="10" spans="4:5" x14ac:dyDescent="0.3">
      <c r="D10" s="5" t="s">
        <v>20</v>
      </c>
      <c r="E10" t="s">
        <v>23</v>
      </c>
    </row>
    <row r="11" spans="4:5" x14ac:dyDescent="0.3">
      <c r="D11" s="6" t="s">
        <v>12</v>
      </c>
      <c r="E11" s="8">
        <v>6760</v>
      </c>
    </row>
    <row r="12" spans="4:5" x14ac:dyDescent="0.3">
      <c r="D12" s="6" t="s">
        <v>21</v>
      </c>
      <c r="E12" s="8">
        <v>6760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3B995-F291-4FCF-B586-517149E25A37}">
  <dimension ref="C11:D13"/>
  <sheetViews>
    <sheetView workbookViewId="0">
      <selection activeCell="E27" sqref="E27"/>
    </sheetView>
  </sheetViews>
  <sheetFormatPr defaultRowHeight="14.4" x14ac:dyDescent="0.3"/>
  <cols>
    <col min="1" max="1" width="12.5546875" bestFit="1" customWidth="1"/>
    <col min="2" max="2" width="11.6640625" bestFit="1" customWidth="1"/>
    <col min="3" max="3" width="12.5546875" bestFit="1" customWidth="1"/>
    <col min="4" max="4" width="11.6640625" bestFit="1" customWidth="1"/>
  </cols>
  <sheetData>
    <row r="11" spans="3:4" x14ac:dyDescent="0.3">
      <c r="C11" s="5" t="s">
        <v>20</v>
      </c>
      <c r="D11" t="s">
        <v>22</v>
      </c>
    </row>
    <row r="12" spans="3:4" x14ac:dyDescent="0.3">
      <c r="C12" s="6" t="s">
        <v>8</v>
      </c>
      <c r="D12" s="8">
        <v>33800</v>
      </c>
    </row>
    <row r="13" spans="3:4" x14ac:dyDescent="0.3">
      <c r="C13" s="6" t="s">
        <v>21</v>
      </c>
      <c r="D13" s="8">
        <v>33800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F7ECD-4AAE-4D18-89B2-1A654CD02456}">
  <dimension ref="H3:I3"/>
  <sheetViews>
    <sheetView showGridLines="0" tabSelected="1" topLeftCell="A2" zoomScale="56" workbookViewId="0"/>
  </sheetViews>
  <sheetFormatPr defaultRowHeight="14.4" x14ac:dyDescent="0.3"/>
  <cols>
    <col min="7" max="7" width="8.88671875" customWidth="1"/>
    <col min="8" max="8" width="15.77734375" bestFit="1" customWidth="1"/>
    <col min="9" max="9" width="13.33203125" bestFit="1" customWidth="1"/>
  </cols>
  <sheetData>
    <row r="3" spans="8:9" x14ac:dyDescent="0.3">
      <c r="H3" s="7"/>
      <c r="I3" s="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Monthly Sales Trend</vt:lpstr>
      <vt:lpstr>Profit by Category</vt:lpstr>
      <vt:lpstr>Sales by Region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PAVAN KUMAR SATYAWADA</cp:lastModifiedBy>
  <dcterms:created xsi:type="dcterms:W3CDTF">2026-01-28T12:17:14Z</dcterms:created>
  <dcterms:modified xsi:type="dcterms:W3CDTF">2026-04-08T16:12:26Z</dcterms:modified>
</cp:coreProperties>
</file>